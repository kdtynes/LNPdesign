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vintynesjr/Library/Mobile Documents/com~apple~CloudDocs/Desktop/Academics/Georgia Tech/Research/LNP Predictions/Datasets/Drug-Based/Pfizer&amp;Moderna/"/>
    </mc:Choice>
  </mc:AlternateContent>
  <xr:revisionPtr revIDLastSave="0" documentId="13_ncr:40009_{06D702C8-4714-244F-9BD8-65FC9ECE4FD7}" xr6:coauthVersionLast="47" xr6:coauthVersionMax="47" xr10:uidLastSave="{00000000-0000-0000-0000-000000000000}"/>
  <bookViews>
    <workbookView xWindow="780" yWindow="1000" windowWidth="27640" windowHeight="15680" activeTab="3"/>
  </bookViews>
  <sheets>
    <sheet name="Lipomer Ratios" sheetId="1" r:id="rId1"/>
    <sheet name="Cholesterol Ratios" sheetId="2" r:id="rId2"/>
    <sheet name="PEG Ratios" sheetId="5" r:id="rId3"/>
    <sheet name="Helper Lipid Ratios" sheetId="6" r:id="rId4"/>
  </sheets>
  <calcPr calcId="0"/>
</workbook>
</file>

<file path=xl/calcChain.xml><?xml version="1.0" encoding="utf-8"?>
<calcChain xmlns="http://schemas.openxmlformats.org/spreadsheetml/2006/main">
  <c r="G12" i="6" l="1"/>
  <c r="H12" i="6"/>
  <c r="I12" i="6"/>
  <c r="G13" i="6"/>
  <c r="H13" i="6"/>
  <c r="I13" i="6"/>
  <c r="G14" i="6"/>
  <c r="H14" i="6"/>
  <c r="L14" i="6" s="1"/>
  <c r="I14" i="6"/>
  <c r="G15" i="6"/>
  <c r="H15" i="6"/>
  <c r="I15" i="6"/>
  <c r="G16" i="6"/>
  <c r="L16" i="6" s="1"/>
  <c r="H16" i="6"/>
  <c r="I16" i="6"/>
  <c r="G17" i="6"/>
  <c r="L17" i="6" s="1"/>
  <c r="H17" i="6"/>
  <c r="I17" i="6"/>
  <c r="G11" i="6"/>
  <c r="H11" i="6"/>
  <c r="I11" i="6"/>
  <c r="G3" i="6"/>
  <c r="H3" i="6"/>
  <c r="G4" i="6"/>
  <c r="H4" i="6"/>
  <c r="G5" i="6"/>
  <c r="H5" i="6"/>
  <c r="L5" i="6" s="1"/>
  <c r="G6" i="6"/>
  <c r="L6" i="6" s="1"/>
  <c r="H6" i="6"/>
  <c r="G7" i="6"/>
  <c r="H7" i="6"/>
  <c r="G8" i="6"/>
  <c r="H8" i="6"/>
  <c r="G9" i="6"/>
  <c r="H9" i="6"/>
  <c r="I4" i="6"/>
  <c r="I5" i="6"/>
  <c r="I6" i="6"/>
  <c r="I7" i="6"/>
  <c r="L7" i="6" s="1"/>
  <c r="I8" i="6"/>
  <c r="I9" i="6"/>
  <c r="I3" i="6"/>
  <c r="J3" i="5"/>
  <c r="G3" i="5"/>
  <c r="H4" i="5"/>
  <c r="H5" i="5"/>
  <c r="H6" i="5"/>
  <c r="H7" i="5"/>
  <c r="H8" i="5"/>
  <c r="H9" i="5"/>
  <c r="H3" i="5"/>
  <c r="J4" i="5"/>
  <c r="J5" i="5"/>
  <c r="J6" i="5"/>
  <c r="J7" i="5"/>
  <c r="J8" i="5"/>
  <c r="J9" i="5"/>
  <c r="L7" i="5"/>
  <c r="J14" i="5"/>
  <c r="L14" i="5" s="1"/>
  <c r="G4" i="5"/>
  <c r="G5" i="5"/>
  <c r="G6" i="5"/>
  <c r="G7" i="5"/>
  <c r="G8" i="5"/>
  <c r="G9" i="5"/>
  <c r="J13" i="5"/>
  <c r="H11" i="5"/>
  <c r="H12" i="5"/>
  <c r="H13" i="5"/>
  <c r="H14" i="5"/>
  <c r="H15" i="5"/>
  <c r="H16" i="5"/>
  <c r="H17" i="5"/>
  <c r="G12" i="5"/>
  <c r="G13" i="5"/>
  <c r="G14" i="5"/>
  <c r="G15" i="5"/>
  <c r="G16" i="5"/>
  <c r="G17" i="5"/>
  <c r="G11" i="5"/>
  <c r="L15" i="6"/>
  <c r="L13" i="6"/>
  <c r="L12" i="6"/>
  <c r="L11" i="6"/>
  <c r="L10" i="6"/>
  <c r="L8" i="6"/>
  <c r="L4" i="6"/>
  <c r="L3" i="6"/>
  <c r="L2" i="6"/>
  <c r="L4" i="5"/>
  <c r="L3" i="5"/>
  <c r="L2" i="5"/>
  <c r="J13" i="1"/>
  <c r="I11" i="1"/>
  <c r="J11" i="1"/>
  <c r="I12" i="1"/>
  <c r="J12" i="1"/>
  <c r="I13" i="1"/>
  <c r="L13" i="1" s="1"/>
  <c r="I14" i="1"/>
  <c r="L14" i="1" s="1"/>
  <c r="J14" i="1"/>
  <c r="I15" i="1"/>
  <c r="J15" i="1"/>
  <c r="I16" i="1"/>
  <c r="J16" i="1"/>
  <c r="I17" i="1"/>
  <c r="J17" i="1"/>
  <c r="L17" i="1" s="1"/>
  <c r="H12" i="1"/>
  <c r="H13" i="1"/>
  <c r="H14" i="1"/>
  <c r="H15" i="1"/>
  <c r="H16" i="1"/>
  <c r="H17" i="1"/>
  <c r="H11" i="1"/>
  <c r="H4" i="1"/>
  <c r="I4" i="1"/>
  <c r="J4" i="1"/>
  <c r="H5" i="1"/>
  <c r="I5" i="1"/>
  <c r="J5" i="1"/>
  <c r="H6" i="1"/>
  <c r="L6" i="1" s="1"/>
  <c r="I6" i="1"/>
  <c r="J6" i="1"/>
  <c r="H7" i="1"/>
  <c r="I7" i="1"/>
  <c r="L7" i="1" s="1"/>
  <c r="J7" i="1"/>
  <c r="H8" i="1"/>
  <c r="L8" i="1" s="1"/>
  <c r="I8" i="1"/>
  <c r="J8" i="1"/>
  <c r="H9" i="1"/>
  <c r="L9" i="1" s="1"/>
  <c r="I9" i="1"/>
  <c r="J9" i="1"/>
  <c r="I3" i="1"/>
  <c r="J3" i="1"/>
  <c r="H3" i="1"/>
  <c r="L3" i="1"/>
  <c r="L4" i="1"/>
  <c r="L5" i="1"/>
  <c r="L10" i="1"/>
  <c r="L11" i="1"/>
  <c r="L12" i="1"/>
  <c r="L15" i="1"/>
  <c r="L16" i="1"/>
  <c r="L2" i="1"/>
  <c r="I12" i="2"/>
  <c r="J12" i="2"/>
  <c r="I13" i="2"/>
  <c r="J13" i="2"/>
  <c r="I14" i="2"/>
  <c r="J14" i="2"/>
  <c r="I15" i="2"/>
  <c r="J15" i="2"/>
  <c r="I16" i="2"/>
  <c r="J16" i="2"/>
  <c r="I17" i="2"/>
  <c r="J17" i="2"/>
  <c r="J11" i="2"/>
  <c r="I11" i="2"/>
  <c r="G12" i="2"/>
  <c r="G13" i="2"/>
  <c r="G14" i="2"/>
  <c r="G15" i="2"/>
  <c r="G16" i="2"/>
  <c r="G17" i="2"/>
  <c r="L17" i="2" s="1"/>
  <c r="G11" i="2"/>
  <c r="J3" i="2"/>
  <c r="J4" i="2"/>
  <c r="J5" i="2"/>
  <c r="J6" i="2"/>
  <c r="J7" i="2"/>
  <c r="J8" i="2"/>
  <c r="J9" i="2"/>
  <c r="I4" i="2"/>
  <c r="I5" i="2"/>
  <c r="I6" i="2"/>
  <c r="I7" i="2"/>
  <c r="I8" i="2"/>
  <c r="I9" i="2"/>
  <c r="I3" i="2"/>
  <c r="G4" i="2"/>
  <c r="G5" i="2"/>
  <c r="G6" i="2"/>
  <c r="G7" i="2"/>
  <c r="G8" i="2"/>
  <c r="G9" i="2"/>
  <c r="G3" i="2"/>
  <c r="L3" i="2" s="1"/>
  <c r="L4" i="2"/>
  <c r="L10" i="2"/>
  <c r="L11" i="2"/>
  <c r="L12" i="2"/>
  <c r="L13" i="2"/>
  <c r="L15" i="2"/>
  <c r="L16" i="2"/>
  <c r="L2" i="2"/>
  <c r="L9" i="6" l="1"/>
  <c r="J17" i="5"/>
  <c r="J16" i="5"/>
  <c r="J12" i="5"/>
  <c r="L12" i="5" s="1"/>
  <c r="L10" i="5"/>
  <c r="J15" i="5"/>
  <c r="L15" i="5" s="1"/>
  <c r="J11" i="5"/>
  <c r="L11" i="5" s="1"/>
  <c r="L8" i="5"/>
  <c r="L5" i="5"/>
  <c r="L6" i="5"/>
  <c r="L9" i="5"/>
  <c r="L16" i="5"/>
  <c r="L13" i="5"/>
  <c r="L17" i="5"/>
  <c r="L14" i="2"/>
  <c r="L9" i="2"/>
  <c r="L8" i="2"/>
  <c r="L7" i="2"/>
  <c r="L6" i="2"/>
  <c r="L5" i="2"/>
</calcChain>
</file>

<file path=xl/sharedStrings.xml><?xml version="1.0" encoding="utf-8"?>
<sst xmlns="http://schemas.openxmlformats.org/spreadsheetml/2006/main" count="448" uniqueCount="68">
  <si>
    <t>Name</t>
  </si>
  <si>
    <t>Lipomer</t>
  </si>
  <si>
    <t>Cholesterol</t>
  </si>
  <si>
    <t>PEG</t>
  </si>
  <si>
    <t>Helper Lipid</t>
  </si>
  <si>
    <t>Other</t>
  </si>
  <si>
    <t>TOTAL</t>
  </si>
  <si>
    <t>Payload</t>
  </si>
  <si>
    <t>mL Made</t>
  </si>
  <si>
    <t>Dose</t>
  </si>
  <si>
    <t>Lipomer:RNA</t>
  </si>
  <si>
    <t>MOD 50 - Ctrl</t>
  </si>
  <si>
    <t>SM-102</t>
  </si>
  <si>
    <t>DMG-PEG</t>
  </si>
  <si>
    <t>DSPC</t>
  </si>
  <si>
    <t>aVHH</t>
  </si>
  <si>
    <t>MOD 30</t>
  </si>
  <si>
    <t>MOD 35</t>
  </si>
  <si>
    <t>MOD 40</t>
  </si>
  <si>
    <t>MOD 45</t>
  </si>
  <si>
    <t>MOD 55</t>
  </si>
  <si>
    <t>MOD 60</t>
  </si>
  <si>
    <t>MOD 65</t>
  </si>
  <si>
    <t>Pfizer 46.3 - Ctrl</t>
  </si>
  <si>
    <t>ALC-0315</t>
  </si>
  <si>
    <t>ALC-0159</t>
  </si>
  <si>
    <t>Pfizer 30</t>
  </si>
  <si>
    <t>Pfizer 35</t>
  </si>
  <si>
    <t>Pfizer 40</t>
  </si>
  <si>
    <t>Pfizer 50</t>
  </si>
  <si>
    <t>Pfizer 55</t>
  </si>
  <si>
    <t>Pfizer 60</t>
  </si>
  <si>
    <t>Pfizer 65</t>
  </si>
  <si>
    <t>MOD 20</t>
  </si>
  <si>
    <t>MOD 25</t>
  </si>
  <si>
    <t>MOD 50</t>
  </si>
  <si>
    <t>MOD 38.5 - Ctrl</t>
  </si>
  <si>
    <t>Pfizer 42.7 - Ctrl</t>
  </si>
  <si>
    <t>Pfizer 20</t>
  </si>
  <si>
    <t>Pfizer 25</t>
  </si>
  <si>
    <t>MOD 1.5 - Ctrl</t>
  </si>
  <si>
    <t>MOD 0</t>
  </si>
  <si>
    <t>MOD 0.5</t>
  </si>
  <si>
    <t>MOD 1.0</t>
  </si>
  <si>
    <t>MOD 2.0</t>
  </si>
  <si>
    <t>MOD 2.5</t>
  </si>
  <si>
    <t>MOD 3.0</t>
  </si>
  <si>
    <t>MOD 3.5</t>
  </si>
  <si>
    <t>Pfizer 1.6 - Ctrl</t>
  </si>
  <si>
    <t>Pfizer 0</t>
  </si>
  <si>
    <t>Pfizer 0.5</t>
  </si>
  <si>
    <t>Pfizer 1.0</t>
  </si>
  <si>
    <t>Pfizer 2.0</t>
  </si>
  <si>
    <t>Pfizer 2.5</t>
  </si>
  <si>
    <t>Pfizer 3.0</t>
  </si>
  <si>
    <t>Pfizer 3.5</t>
  </si>
  <si>
    <t>MOD 10 - Ctrl</t>
  </si>
  <si>
    <t>MOD 5</t>
  </si>
  <si>
    <t>MOD 7.5</t>
  </si>
  <si>
    <t>MOD 12.5</t>
  </si>
  <si>
    <t>MOD 15</t>
  </si>
  <si>
    <t>MOD 17.5</t>
  </si>
  <si>
    <t>Pfizer 9.4 - Ctrl</t>
  </si>
  <si>
    <t>Pfizer 5</t>
  </si>
  <si>
    <t>Pfizer 7.5</t>
  </si>
  <si>
    <t>Pfizer 12.5</t>
  </si>
  <si>
    <t>Pfizer 15</t>
  </si>
  <si>
    <t>Pfizer 17.5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</si>
</sst>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selection activeCell="J14" sqref="J14"/>
    </sheetView>
  </sheetViews>
  <sheetFormatPr baseColWidth="10" defaultRowHeight="16" x14ac:dyDescent="0.2"/>
  <cols>
    <col min="1" max="1" width="16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2">
      <c r="A2" t="s">
        <v>11</v>
      </c>
      <c r="B2" t="s">
        <v>12</v>
      </c>
      <c r="C2" t="s">
        <v>2</v>
      </c>
      <c r="D2" t="s">
        <v>13</v>
      </c>
      <c r="E2" t="s">
        <v>14</v>
      </c>
      <c r="F2">
        <v>1</v>
      </c>
      <c r="G2" s="1">
        <v>50</v>
      </c>
      <c r="H2" s="1">
        <v>38.5</v>
      </c>
      <c r="I2" s="1">
        <v>1.5</v>
      </c>
      <c r="J2" s="1">
        <v>10</v>
      </c>
      <c r="K2">
        <v>0</v>
      </c>
      <c r="L2" s="1">
        <f>SUM(G2:J2)</f>
        <v>100</v>
      </c>
      <c r="M2" t="s">
        <v>15</v>
      </c>
      <c r="N2">
        <v>0.3</v>
      </c>
      <c r="O2">
        <v>0.3</v>
      </c>
      <c r="P2">
        <v>15</v>
      </c>
    </row>
    <row r="3" spans="1:16" x14ac:dyDescent="0.2">
      <c r="A3" t="s">
        <v>16</v>
      </c>
      <c r="B3" t="s">
        <v>12</v>
      </c>
      <c r="C3" t="s">
        <v>2</v>
      </c>
      <c r="D3" t="s">
        <v>13</v>
      </c>
      <c r="E3" t="s">
        <v>14</v>
      </c>
      <c r="F3">
        <v>1</v>
      </c>
      <c r="G3" s="1">
        <v>30</v>
      </c>
      <c r="H3" s="1">
        <f>(100-$G3)*H$2/(100-$G$2)</f>
        <v>53.9</v>
      </c>
      <c r="I3" s="1">
        <f t="shared" ref="I3:J9" si="0">(100-$G3)*I$2/(100-$G$2)</f>
        <v>2.1</v>
      </c>
      <c r="J3" s="1">
        <f t="shared" si="0"/>
        <v>14</v>
      </c>
      <c r="K3">
        <v>0</v>
      </c>
      <c r="L3" s="1">
        <f t="shared" ref="L3:L17" si="1">SUM(G3:J3)</f>
        <v>100</v>
      </c>
      <c r="M3" t="s">
        <v>15</v>
      </c>
      <c r="N3">
        <v>0.3</v>
      </c>
      <c r="O3">
        <v>0.3</v>
      </c>
      <c r="P3">
        <v>15</v>
      </c>
    </row>
    <row r="4" spans="1:16" x14ac:dyDescent="0.2">
      <c r="A4" t="s">
        <v>17</v>
      </c>
      <c r="B4" t="s">
        <v>12</v>
      </c>
      <c r="C4" t="s">
        <v>2</v>
      </c>
      <c r="D4" t="s">
        <v>13</v>
      </c>
      <c r="E4" t="s">
        <v>14</v>
      </c>
      <c r="F4">
        <v>1</v>
      </c>
      <c r="G4" s="1">
        <v>35</v>
      </c>
      <c r="H4" s="1">
        <f t="shared" ref="H4:H9" si="2">(100-$G4)*H$2/(100-$G$2)</f>
        <v>50.05</v>
      </c>
      <c r="I4" s="1">
        <f t="shared" si="0"/>
        <v>1.95</v>
      </c>
      <c r="J4" s="1">
        <f t="shared" si="0"/>
        <v>13</v>
      </c>
      <c r="K4">
        <v>0</v>
      </c>
      <c r="L4" s="1">
        <f t="shared" si="1"/>
        <v>100</v>
      </c>
      <c r="M4" t="s">
        <v>15</v>
      </c>
      <c r="N4">
        <v>0.3</v>
      </c>
      <c r="O4">
        <v>0.3</v>
      </c>
      <c r="P4">
        <v>15</v>
      </c>
    </row>
    <row r="5" spans="1:16" x14ac:dyDescent="0.2">
      <c r="A5" t="s">
        <v>18</v>
      </c>
      <c r="B5" t="s">
        <v>12</v>
      </c>
      <c r="C5" t="s">
        <v>2</v>
      </c>
      <c r="D5" t="s">
        <v>13</v>
      </c>
      <c r="E5" t="s">
        <v>14</v>
      </c>
      <c r="F5">
        <v>1</v>
      </c>
      <c r="G5" s="1">
        <v>40</v>
      </c>
      <c r="H5" s="1">
        <f t="shared" si="2"/>
        <v>46.2</v>
      </c>
      <c r="I5" s="1">
        <f t="shared" si="0"/>
        <v>1.8</v>
      </c>
      <c r="J5" s="1">
        <f t="shared" si="0"/>
        <v>12</v>
      </c>
      <c r="K5">
        <v>0</v>
      </c>
      <c r="L5" s="1">
        <f t="shared" si="1"/>
        <v>100</v>
      </c>
      <c r="M5" t="s">
        <v>15</v>
      </c>
      <c r="N5">
        <v>0.3</v>
      </c>
      <c r="O5">
        <v>0.3</v>
      </c>
      <c r="P5">
        <v>15</v>
      </c>
    </row>
    <row r="6" spans="1:16" x14ac:dyDescent="0.2">
      <c r="A6" t="s">
        <v>19</v>
      </c>
      <c r="B6" t="s">
        <v>12</v>
      </c>
      <c r="C6" t="s">
        <v>2</v>
      </c>
      <c r="D6" t="s">
        <v>13</v>
      </c>
      <c r="E6" t="s">
        <v>14</v>
      </c>
      <c r="F6">
        <v>1</v>
      </c>
      <c r="G6" s="1">
        <v>45</v>
      </c>
      <c r="H6" s="1">
        <f t="shared" si="2"/>
        <v>42.35</v>
      </c>
      <c r="I6" s="1">
        <f t="shared" si="0"/>
        <v>1.65</v>
      </c>
      <c r="J6" s="1">
        <f t="shared" si="0"/>
        <v>11</v>
      </c>
      <c r="K6">
        <v>0</v>
      </c>
      <c r="L6" s="1">
        <f t="shared" si="1"/>
        <v>100</v>
      </c>
      <c r="M6" t="s">
        <v>15</v>
      </c>
      <c r="N6">
        <v>0.3</v>
      </c>
      <c r="O6">
        <v>0.3</v>
      </c>
      <c r="P6">
        <v>15</v>
      </c>
    </row>
    <row r="7" spans="1:16" x14ac:dyDescent="0.2">
      <c r="A7" t="s">
        <v>20</v>
      </c>
      <c r="B7" t="s">
        <v>12</v>
      </c>
      <c r="C7" t="s">
        <v>2</v>
      </c>
      <c r="D7" t="s">
        <v>13</v>
      </c>
      <c r="E7" t="s">
        <v>14</v>
      </c>
      <c r="F7">
        <v>1</v>
      </c>
      <c r="G7" s="1">
        <v>55</v>
      </c>
      <c r="H7" s="1">
        <f t="shared" si="2"/>
        <v>34.65</v>
      </c>
      <c r="I7" s="1">
        <f t="shared" si="0"/>
        <v>1.35</v>
      </c>
      <c r="J7" s="1">
        <f t="shared" si="0"/>
        <v>9</v>
      </c>
      <c r="K7">
        <v>0</v>
      </c>
      <c r="L7" s="1">
        <f t="shared" si="1"/>
        <v>100</v>
      </c>
      <c r="M7" t="s">
        <v>15</v>
      </c>
      <c r="N7">
        <v>0.3</v>
      </c>
      <c r="O7">
        <v>0.3</v>
      </c>
      <c r="P7">
        <v>15</v>
      </c>
    </row>
    <row r="8" spans="1:16" x14ac:dyDescent="0.2">
      <c r="A8" t="s">
        <v>21</v>
      </c>
      <c r="B8" t="s">
        <v>12</v>
      </c>
      <c r="C8" t="s">
        <v>2</v>
      </c>
      <c r="D8" t="s">
        <v>13</v>
      </c>
      <c r="E8" t="s">
        <v>14</v>
      </c>
      <c r="F8">
        <v>1</v>
      </c>
      <c r="G8" s="1">
        <v>60</v>
      </c>
      <c r="H8" s="1">
        <f t="shared" si="2"/>
        <v>30.8</v>
      </c>
      <c r="I8" s="1">
        <f t="shared" si="0"/>
        <v>1.2</v>
      </c>
      <c r="J8" s="1">
        <f t="shared" si="0"/>
        <v>8</v>
      </c>
      <c r="K8">
        <v>0</v>
      </c>
      <c r="L8" s="1">
        <f t="shared" si="1"/>
        <v>100</v>
      </c>
      <c r="M8" t="s">
        <v>15</v>
      </c>
      <c r="N8">
        <v>0.3</v>
      </c>
      <c r="O8">
        <v>0.3</v>
      </c>
      <c r="P8">
        <v>15</v>
      </c>
    </row>
    <row r="9" spans="1:16" x14ac:dyDescent="0.2">
      <c r="A9" t="s">
        <v>22</v>
      </c>
      <c r="B9" t="s">
        <v>12</v>
      </c>
      <c r="C9" t="s">
        <v>2</v>
      </c>
      <c r="D9" t="s">
        <v>13</v>
      </c>
      <c r="E9" t="s">
        <v>14</v>
      </c>
      <c r="F9">
        <v>1</v>
      </c>
      <c r="G9" s="1">
        <v>65</v>
      </c>
      <c r="H9" s="1">
        <f t="shared" si="2"/>
        <v>26.95</v>
      </c>
      <c r="I9" s="1">
        <f t="shared" si="0"/>
        <v>1.05</v>
      </c>
      <c r="J9" s="1">
        <f t="shared" si="0"/>
        <v>7</v>
      </c>
      <c r="K9">
        <v>0</v>
      </c>
      <c r="L9" s="1">
        <f t="shared" si="1"/>
        <v>100</v>
      </c>
      <c r="M9" t="s">
        <v>15</v>
      </c>
      <c r="N9">
        <v>0.3</v>
      </c>
      <c r="O9">
        <v>0.3</v>
      </c>
      <c r="P9">
        <v>15</v>
      </c>
    </row>
    <row r="10" spans="1:16" x14ac:dyDescent="0.2">
      <c r="A10" t="s">
        <v>23</v>
      </c>
      <c r="B10" t="s">
        <v>24</v>
      </c>
      <c r="C10" t="s">
        <v>2</v>
      </c>
      <c r="D10" t="s">
        <v>25</v>
      </c>
      <c r="E10" t="s">
        <v>14</v>
      </c>
      <c r="F10">
        <v>1</v>
      </c>
      <c r="G10" s="1">
        <v>46.3</v>
      </c>
      <c r="H10" s="1">
        <v>42.7</v>
      </c>
      <c r="I10" s="1">
        <v>1.6</v>
      </c>
      <c r="J10" s="1">
        <v>9.4</v>
      </c>
      <c r="K10">
        <v>0</v>
      </c>
      <c r="L10" s="1">
        <f t="shared" si="1"/>
        <v>100</v>
      </c>
      <c r="M10" t="s">
        <v>15</v>
      </c>
      <c r="N10">
        <v>0.3</v>
      </c>
      <c r="O10">
        <v>0.3</v>
      </c>
      <c r="P10">
        <v>15</v>
      </c>
    </row>
    <row r="11" spans="1:16" x14ac:dyDescent="0.2">
      <c r="A11" t="s">
        <v>26</v>
      </c>
      <c r="B11" t="s">
        <v>24</v>
      </c>
      <c r="C11" t="s">
        <v>2</v>
      </c>
      <c r="D11" t="s">
        <v>25</v>
      </c>
      <c r="E11" t="s">
        <v>14</v>
      </c>
      <c r="F11">
        <v>1</v>
      </c>
      <c r="G11" s="1">
        <v>30</v>
      </c>
      <c r="H11" s="1">
        <f>(100-$G11)*H$10/(100-$G$10)</f>
        <v>55.661080074487892</v>
      </c>
      <c r="I11" s="1">
        <f t="shared" ref="I11:J11" si="3">(100-$G11)*I$10/(100-$G$10)</f>
        <v>2.0856610800744879</v>
      </c>
      <c r="J11" s="1">
        <f t="shared" si="3"/>
        <v>12.253258845437616</v>
      </c>
      <c r="K11">
        <v>0</v>
      </c>
      <c r="L11" s="1">
        <f t="shared" si="1"/>
        <v>100</v>
      </c>
      <c r="M11" t="s">
        <v>15</v>
      </c>
      <c r="N11">
        <v>0.3</v>
      </c>
      <c r="O11">
        <v>0.3</v>
      </c>
      <c r="P11">
        <v>15</v>
      </c>
    </row>
    <row r="12" spans="1:16" x14ac:dyDescent="0.2">
      <c r="A12" t="s">
        <v>27</v>
      </c>
      <c r="B12" t="s">
        <v>24</v>
      </c>
      <c r="C12" t="s">
        <v>2</v>
      </c>
      <c r="D12" t="s">
        <v>25</v>
      </c>
      <c r="E12" t="s">
        <v>14</v>
      </c>
      <c r="F12">
        <v>1</v>
      </c>
      <c r="G12" s="1">
        <v>35</v>
      </c>
      <c r="H12" s="1">
        <f t="shared" ref="H12:J17" si="4">(100-$G12)*H$10/(100-$G$10)</f>
        <v>51.6852886405959</v>
      </c>
      <c r="I12" s="1">
        <f t="shared" si="4"/>
        <v>1.9366852886405959</v>
      </c>
      <c r="J12" s="1">
        <f t="shared" si="4"/>
        <v>11.3780260707635</v>
      </c>
      <c r="K12">
        <v>0</v>
      </c>
      <c r="L12" s="1">
        <f t="shared" si="1"/>
        <v>99.999999999999986</v>
      </c>
      <c r="M12" t="s">
        <v>15</v>
      </c>
      <c r="N12">
        <v>0.3</v>
      </c>
      <c r="O12">
        <v>0.3</v>
      </c>
      <c r="P12">
        <v>15</v>
      </c>
    </row>
    <row r="13" spans="1:16" x14ac:dyDescent="0.2">
      <c r="A13" t="s">
        <v>28</v>
      </c>
      <c r="B13" t="s">
        <v>24</v>
      </c>
      <c r="C13" t="s">
        <v>2</v>
      </c>
      <c r="D13" t="s">
        <v>25</v>
      </c>
      <c r="E13" t="s">
        <v>14</v>
      </c>
      <c r="F13">
        <v>1</v>
      </c>
      <c r="G13" s="1">
        <v>40</v>
      </c>
      <c r="H13" s="1">
        <f t="shared" si="4"/>
        <v>47.709497206703908</v>
      </c>
      <c r="I13" s="1">
        <f t="shared" si="4"/>
        <v>1.7877094972067038</v>
      </c>
      <c r="J13" s="1">
        <f>(100-$G13)*J$10/(100-$G$10)</f>
        <v>10.502793296089385</v>
      </c>
      <c r="K13">
        <v>0</v>
      </c>
      <c r="L13" s="1">
        <f t="shared" si="1"/>
        <v>99.999999999999986</v>
      </c>
      <c r="M13" t="s">
        <v>15</v>
      </c>
      <c r="N13">
        <v>0.3</v>
      </c>
      <c r="O13">
        <v>0.3</v>
      </c>
      <c r="P13">
        <v>15</v>
      </c>
    </row>
    <row r="14" spans="1:16" x14ac:dyDescent="0.2">
      <c r="A14" t="s">
        <v>29</v>
      </c>
      <c r="B14" t="s">
        <v>24</v>
      </c>
      <c r="C14" t="s">
        <v>2</v>
      </c>
      <c r="D14" t="s">
        <v>25</v>
      </c>
      <c r="E14" t="s">
        <v>14</v>
      </c>
      <c r="F14">
        <v>1</v>
      </c>
      <c r="G14" s="1">
        <v>50</v>
      </c>
      <c r="H14" s="1">
        <f t="shared" si="4"/>
        <v>39.757914338919925</v>
      </c>
      <c r="I14" s="1">
        <f t="shared" si="4"/>
        <v>1.4897579143389199</v>
      </c>
      <c r="J14" s="1">
        <f t="shared" si="4"/>
        <v>8.7523277467411535</v>
      </c>
      <c r="K14">
        <v>0</v>
      </c>
      <c r="L14" s="1">
        <f t="shared" si="1"/>
        <v>100.00000000000001</v>
      </c>
      <c r="M14" t="s">
        <v>15</v>
      </c>
      <c r="N14">
        <v>0.3</v>
      </c>
      <c r="O14">
        <v>0.3</v>
      </c>
      <c r="P14">
        <v>15</v>
      </c>
    </row>
    <row r="15" spans="1:16" x14ac:dyDescent="0.2">
      <c r="A15" t="s">
        <v>30</v>
      </c>
      <c r="B15" t="s">
        <v>24</v>
      </c>
      <c r="C15" t="s">
        <v>2</v>
      </c>
      <c r="D15" t="s">
        <v>25</v>
      </c>
      <c r="E15" t="s">
        <v>14</v>
      </c>
      <c r="F15">
        <v>1</v>
      </c>
      <c r="G15" s="1">
        <v>55</v>
      </c>
      <c r="H15" s="1">
        <f t="shared" si="4"/>
        <v>35.782122905027933</v>
      </c>
      <c r="I15" s="1">
        <f t="shared" si="4"/>
        <v>1.3407821229050279</v>
      </c>
      <c r="J15" s="1">
        <f t="shared" si="4"/>
        <v>7.8770949720670389</v>
      </c>
      <c r="K15">
        <v>0</v>
      </c>
      <c r="L15" s="1">
        <f t="shared" si="1"/>
        <v>100</v>
      </c>
      <c r="M15" t="s">
        <v>15</v>
      </c>
      <c r="N15">
        <v>0.3</v>
      </c>
      <c r="O15">
        <v>0.3</v>
      </c>
      <c r="P15">
        <v>15</v>
      </c>
    </row>
    <row r="16" spans="1:16" x14ac:dyDescent="0.2">
      <c r="A16" t="s">
        <v>31</v>
      </c>
      <c r="B16" t="s">
        <v>24</v>
      </c>
      <c r="C16" t="s">
        <v>2</v>
      </c>
      <c r="D16" t="s">
        <v>25</v>
      </c>
      <c r="E16" t="s">
        <v>14</v>
      </c>
      <c r="F16">
        <v>1</v>
      </c>
      <c r="G16" s="1">
        <v>60</v>
      </c>
      <c r="H16" s="1">
        <f t="shared" si="4"/>
        <v>31.806331471135938</v>
      </c>
      <c r="I16" s="1">
        <f t="shared" si="4"/>
        <v>1.1918063314711358</v>
      </c>
      <c r="J16" s="1">
        <f t="shared" si="4"/>
        <v>7.0018621973929234</v>
      </c>
      <c r="K16">
        <v>0</v>
      </c>
      <c r="L16" s="1">
        <f t="shared" si="1"/>
        <v>100</v>
      </c>
      <c r="M16" t="s">
        <v>15</v>
      </c>
      <c r="N16">
        <v>0.3</v>
      </c>
      <c r="O16">
        <v>0.3</v>
      </c>
      <c r="P16">
        <v>15</v>
      </c>
    </row>
    <row r="17" spans="1:16" x14ac:dyDescent="0.2">
      <c r="A17" t="s">
        <v>32</v>
      </c>
      <c r="B17" t="s">
        <v>24</v>
      </c>
      <c r="C17" t="s">
        <v>2</v>
      </c>
      <c r="D17" t="s">
        <v>25</v>
      </c>
      <c r="E17" t="s">
        <v>14</v>
      </c>
      <c r="F17">
        <v>1</v>
      </c>
      <c r="G17" s="1">
        <v>65</v>
      </c>
      <c r="H17" s="1">
        <f t="shared" si="4"/>
        <v>27.830540037243946</v>
      </c>
      <c r="I17" s="1">
        <f t="shared" si="4"/>
        <v>1.042830540037244</v>
      </c>
      <c r="J17" s="1">
        <f t="shared" si="4"/>
        <v>6.1266294227188078</v>
      </c>
      <c r="K17">
        <v>0</v>
      </c>
      <c r="L17" s="1">
        <f t="shared" si="1"/>
        <v>100</v>
      </c>
      <c r="M17" t="s">
        <v>15</v>
      </c>
      <c r="N17">
        <v>0.3</v>
      </c>
      <c r="O17">
        <v>0.3</v>
      </c>
      <c r="P17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selection activeCell="H21" sqref="H21"/>
    </sheetView>
  </sheetViews>
  <sheetFormatPr baseColWidth="10" defaultRowHeight="16" x14ac:dyDescent="0.2"/>
  <cols>
    <col min="1" max="1" width="16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2">
      <c r="A2" t="s">
        <v>36</v>
      </c>
      <c r="B2" t="s">
        <v>12</v>
      </c>
      <c r="C2" t="s">
        <v>2</v>
      </c>
      <c r="D2" t="s">
        <v>13</v>
      </c>
      <c r="E2" t="s">
        <v>14</v>
      </c>
      <c r="F2">
        <v>1</v>
      </c>
      <c r="G2" s="1">
        <v>50</v>
      </c>
      <c r="H2" s="1">
        <v>38.5</v>
      </c>
      <c r="I2" s="1">
        <v>1.5</v>
      </c>
      <c r="J2" s="1">
        <v>10</v>
      </c>
      <c r="K2">
        <v>0</v>
      </c>
      <c r="L2" s="1">
        <f>SUM(G2:J2)</f>
        <v>100</v>
      </c>
      <c r="M2" t="s">
        <v>15</v>
      </c>
      <c r="N2">
        <v>0.3</v>
      </c>
      <c r="O2">
        <v>0.3</v>
      </c>
      <c r="P2">
        <v>15</v>
      </c>
    </row>
    <row r="3" spans="1:16" x14ac:dyDescent="0.2">
      <c r="A3" t="s">
        <v>33</v>
      </c>
      <c r="B3" t="s">
        <v>12</v>
      </c>
      <c r="C3" t="s">
        <v>2</v>
      </c>
      <c r="D3" t="s">
        <v>13</v>
      </c>
      <c r="E3" t="s">
        <v>14</v>
      </c>
      <c r="F3">
        <v>1</v>
      </c>
      <c r="G3" s="1">
        <f>(100-$H3)*$G$2/(100-$H$2)</f>
        <v>65.040650406504071</v>
      </c>
      <c r="H3" s="1">
        <v>20</v>
      </c>
      <c r="I3" s="1">
        <f>(100-$H3)*I$2/(100-$H$2)</f>
        <v>1.9512195121951219</v>
      </c>
      <c r="J3" s="1">
        <f>(100-$H3)*J$2/(100-$H$2)</f>
        <v>13.008130081300813</v>
      </c>
      <c r="K3">
        <v>0</v>
      </c>
      <c r="L3" s="1">
        <f t="shared" ref="L3:L16" si="0">SUM(G3:J3)</f>
        <v>100</v>
      </c>
      <c r="M3" t="s">
        <v>15</v>
      </c>
      <c r="N3">
        <v>0.3</v>
      </c>
      <c r="O3">
        <v>0.3</v>
      </c>
      <c r="P3">
        <v>15</v>
      </c>
    </row>
    <row r="4" spans="1:16" x14ac:dyDescent="0.2">
      <c r="A4" t="s">
        <v>34</v>
      </c>
      <c r="B4" t="s">
        <v>12</v>
      </c>
      <c r="C4" t="s">
        <v>2</v>
      </c>
      <c r="D4" t="s">
        <v>13</v>
      </c>
      <c r="E4" t="s">
        <v>14</v>
      </c>
      <c r="F4">
        <v>1</v>
      </c>
      <c r="G4" s="1">
        <f t="shared" ref="G4:G9" si="1">(100-$H4)*$G$2/(100-$H$2)</f>
        <v>60.975609756097562</v>
      </c>
      <c r="H4" s="1">
        <v>25</v>
      </c>
      <c r="I4" s="1">
        <f t="shared" ref="I4:J9" si="2">(100-$H4)*I$2/(100-$H$2)</f>
        <v>1.8292682926829269</v>
      </c>
      <c r="J4" s="1">
        <f t="shared" si="2"/>
        <v>12.195121951219512</v>
      </c>
      <c r="K4">
        <v>0</v>
      </c>
      <c r="L4" s="1">
        <f t="shared" si="0"/>
        <v>100</v>
      </c>
      <c r="M4" t="s">
        <v>15</v>
      </c>
      <c r="N4">
        <v>0.3</v>
      </c>
      <c r="O4">
        <v>0.3</v>
      </c>
      <c r="P4">
        <v>15</v>
      </c>
    </row>
    <row r="5" spans="1:16" x14ac:dyDescent="0.2">
      <c r="A5" t="s">
        <v>16</v>
      </c>
      <c r="B5" t="s">
        <v>12</v>
      </c>
      <c r="C5" t="s">
        <v>2</v>
      </c>
      <c r="D5" t="s">
        <v>13</v>
      </c>
      <c r="E5" t="s">
        <v>14</v>
      </c>
      <c r="F5">
        <v>1</v>
      </c>
      <c r="G5" s="1">
        <f t="shared" si="1"/>
        <v>56.91056910569106</v>
      </c>
      <c r="H5" s="1">
        <v>30</v>
      </c>
      <c r="I5" s="1">
        <f t="shared" si="2"/>
        <v>1.7073170731707317</v>
      </c>
      <c r="J5" s="1">
        <f t="shared" si="2"/>
        <v>11.382113821138212</v>
      </c>
      <c r="K5">
        <v>0</v>
      </c>
      <c r="L5" s="1">
        <f t="shared" si="0"/>
        <v>100</v>
      </c>
      <c r="M5" t="s">
        <v>15</v>
      </c>
      <c r="N5">
        <v>0.3</v>
      </c>
      <c r="O5">
        <v>0.3</v>
      </c>
      <c r="P5">
        <v>15</v>
      </c>
    </row>
    <row r="6" spans="1:16" x14ac:dyDescent="0.2">
      <c r="A6" t="s">
        <v>17</v>
      </c>
      <c r="B6" t="s">
        <v>12</v>
      </c>
      <c r="C6" t="s">
        <v>2</v>
      </c>
      <c r="D6" t="s">
        <v>13</v>
      </c>
      <c r="E6" t="s">
        <v>14</v>
      </c>
      <c r="F6">
        <v>1</v>
      </c>
      <c r="G6" s="1">
        <f t="shared" si="1"/>
        <v>52.845528455284551</v>
      </c>
      <c r="H6" s="1">
        <v>35</v>
      </c>
      <c r="I6" s="1">
        <f t="shared" si="2"/>
        <v>1.5853658536585367</v>
      </c>
      <c r="J6" s="1">
        <f t="shared" si="2"/>
        <v>10.56910569105691</v>
      </c>
      <c r="K6">
        <v>0</v>
      </c>
      <c r="L6" s="1">
        <f t="shared" si="0"/>
        <v>99.999999999999986</v>
      </c>
      <c r="M6" t="s">
        <v>15</v>
      </c>
      <c r="N6">
        <v>0.3</v>
      </c>
      <c r="O6">
        <v>0.3</v>
      </c>
      <c r="P6">
        <v>15</v>
      </c>
    </row>
    <row r="7" spans="1:16" x14ac:dyDescent="0.2">
      <c r="A7" t="s">
        <v>19</v>
      </c>
      <c r="B7" t="s">
        <v>12</v>
      </c>
      <c r="C7" t="s">
        <v>2</v>
      </c>
      <c r="D7" t="s">
        <v>13</v>
      </c>
      <c r="E7" t="s">
        <v>14</v>
      </c>
      <c r="F7">
        <v>1</v>
      </c>
      <c r="G7" s="1">
        <f t="shared" si="1"/>
        <v>48.780487804878049</v>
      </c>
      <c r="H7" s="1">
        <v>40</v>
      </c>
      <c r="I7" s="1">
        <f t="shared" si="2"/>
        <v>1.4634146341463414</v>
      </c>
      <c r="J7" s="1">
        <f t="shared" si="2"/>
        <v>9.7560975609756095</v>
      </c>
      <c r="K7">
        <v>0</v>
      </c>
      <c r="L7" s="1">
        <f t="shared" si="0"/>
        <v>100</v>
      </c>
      <c r="M7" t="s">
        <v>15</v>
      </c>
      <c r="N7">
        <v>0.3</v>
      </c>
      <c r="O7">
        <v>0.3</v>
      </c>
      <c r="P7">
        <v>15</v>
      </c>
    </row>
    <row r="8" spans="1:16" x14ac:dyDescent="0.2">
      <c r="A8" t="s">
        <v>35</v>
      </c>
      <c r="B8" t="s">
        <v>12</v>
      </c>
      <c r="C8" t="s">
        <v>2</v>
      </c>
      <c r="D8" t="s">
        <v>13</v>
      </c>
      <c r="E8" t="s">
        <v>14</v>
      </c>
      <c r="F8">
        <v>1</v>
      </c>
      <c r="G8" s="1">
        <f t="shared" si="1"/>
        <v>40.650406504065039</v>
      </c>
      <c r="H8" s="1">
        <v>50</v>
      </c>
      <c r="I8" s="1">
        <f t="shared" si="2"/>
        <v>1.2195121951219512</v>
      </c>
      <c r="J8" s="1">
        <f t="shared" si="2"/>
        <v>8.1300813008130088</v>
      </c>
      <c r="K8">
        <v>0</v>
      </c>
      <c r="L8" s="1">
        <f t="shared" si="0"/>
        <v>100</v>
      </c>
      <c r="M8" t="s">
        <v>15</v>
      </c>
      <c r="N8">
        <v>0.3</v>
      </c>
      <c r="O8">
        <v>0.3</v>
      </c>
      <c r="P8">
        <v>15</v>
      </c>
    </row>
    <row r="9" spans="1:16" x14ac:dyDescent="0.2">
      <c r="A9" t="s">
        <v>20</v>
      </c>
      <c r="B9" t="s">
        <v>12</v>
      </c>
      <c r="C9" t="s">
        <v>2</v>
      </c>
      <c r="D9" t="s">
        <v>13</v>
      </c>
      <c r="E9" t="s">
        <v>14</v>
      </c>
      <c r="F9">
        <v>1</v>
      </c>
      <c r="G9" s="1">
        <f t="shared" si="1"/>
        <v>36.585365853658537</v>
      </c>
      <c r="H9" s="1">
        <v>55</v>
      </c>
      <c r="I9" s="1">
        <f t="shared" si="2"/>
        <v>1.0975609756097562</v>
      </c>
      <c r="J9" s="1">
        <f t="shared" si="2"/>
        <v>7.3170731707317076</v>
      </c>
      <c r="K9">
        <v>0</v>
      </c>
      <c r="L9" s="1">
        <f t="shared" si="0"/>
        <v>100</v>
      </c>
      <c r="M9" t="s">
        <v>15</v>
      </c>
      <c r="N9">
        <v>0.3</v>
      </c>
      <c r="O9">
        <v>0.3</v>
      </c>
      <c r="P9">
        <v>15</v>
      </c>
    </row>
    <row r="10" spans="1:16" x14ac:dyDescent="0.2">
      <c r="A10" t="s">
        <v>37</v>
      </c>
      <c r="B10" t="s">
        <v>24</v>
      </c>
      <c r="C10" t="s">
        <v>2</v>
      </c>
      <c r="D10" t="s">
        <v>25</v>
      </c>
      <c r="E10" t="s">
        <v>14</v>
      </c>
      <c r="F10">
        <v>1</v>
      </c>
      <c r="G10" s="1">
        <v>46.3</v>
      </c>
      <c r="H10" s="1">
        <v>42.7</v>
      </c>
      <c r="I10" s="1">
        <v>1.6</v>
      </c>
      <c r="J10" s="1">
        <v>9.4</v>
      </c>
      <c r="K10">
        <v>0</v>
      </c>
      <c r="L10" s="1">
        <f t="shared" si="0"/>
        <v>100</v>
      </c>
      <c r="M10" t="s">
        <v>15</v>
      </c>
      <c r="N10">
        <v>0.3</v>
      </c>
      <c r="O10">
        <v>0.3</v>
      </c>
      <c r="P10">
        <v>15</v>
      </c>
    </row>
    <row r="11" spans="1:16" x14ac:dyDescent="0.2">
      <c r="A11" t="s">
        <v>38</v>
      </c>
      <c r="B11" t="s">
        <v>24</v>
      </c>
      <c r="C11" t="s">
        <v>2</v>
      </c>
      <c r="D11" t="s">
        <v>25</v>
      </c>
      <c r="E11" t="s">
        <v>14</v>
      </c>
      <c r="F11">
        <v>1</v>
      </c>
      <c r="G11" s="1">
        <f>(100-$H11)*G$10/(100-$H$10)</f>
        <v>64.64223385689354</v>
      </c>
      <c r="H11" s="1">
        <v>20</v>
      </c>
      <c r="I11" s="1">
        <f>(100-$H11)*I$10/(100-$H$10)</f>
        <v>2.2338568935427574</v>
      </c>
      <c r="J11" s="1">
        <f>(100-$H11)*J$10/(100-$H$10)</f>
        <v>13.123909249563701</v>
      </c>
      <c r="K11">
        <v>0</v>
      </c>
      <c r="L11" s="1">
        <f t="shared" si="0"/>
        <v>100</v>
      </c>
      <c r="M11" t="s">
        <v>15</v>
      </c>
      <c r="N11">
        <v>0.3</v>
      </c>
      <c r="O11">
        <v>0.3</v>
      </c>
      <c r="P11">
        <v>15</v>
      </c>
    </row>
    <row r="12" spans="1:16" x14ac:dyDescent="0.2">
      <c r="A12" t="s">
        <v>39</v>
      </c>
      <c r="B12" t="s">
        <v>24</v>
      </c>
      <c r="C12" t="s">
        <v>2</v>
      </c>
      <c r="D12" t="s">
        <v>25</v>
      </c>
      <c r="E12" t="s">
        <v>14</v>
      </c>
      <c r="F12">
        <v>1</v>
      </c>
      <c r="G12" s="1">
        <f t="shared" ref="G12:G17" si="3">(100-$H12)*G$10/(100-$H$10)</f>
        <v>60.602094240837701</v>
      </c>
      <c r="H12" s="1">
        <v>25</v>
      </c>
      <c r="I12" s="1">
        <f t="shared" ref="I12:J17" si="4">(100-$H12)*I$10/(100-$H$10)</f>
        <v>2.0942408376963351</v>
      </c>
      <c r="J12" s="1">
        <f t="shared" si="4"/>
        <v>12.30366492146597</v>
      </c>
      <c r="K12">
        <v>0</v>
      </c>
      <c r="L12" s="1">
        <f t="shared" si="0"/>
        <v>100</v>
      </c>
      <c r="M12" t="s">
        <v>15</v>
      </c>
      <c r="N12">
        <v>0.3</v>
      </c>
      <c r="O12">
        <v>0.3</v>
      </c>
      <c r="P12">
        <v>15</v>
      </c>
    </row>
    <row r="13" spans="1:16" x14ac:dyDescent="0.2">
      <c r="A13" t="s">
        <v>26</v>
      </c>
      <c r="B13" t="s">
        <v>24</v>
      </c>
      <c r="C13" t="s">
        <v>2</v>
      </c>
      <c r="D13" t="s">
        <v>25</v>
      </c>
      <c r="E13" t="s">
        <v>14</v>
      </c>
      <c r="F13">
        <v>1</v>
      </c>
      <c r="G13" s="1">
        <f t="shared" si="3"/>
        <v>56.561954624781855</v>
      </c>
      <c r="H13" s="1">
        <v>30</v>
      </c>
      <c r="I13" s="1">
        <f t="shared" si="4"/>
        <v>1.9546247818499127</v>
      </c>
      <c r="J13" s="1">
        <f t="shared" si="4"/>
        <v>11.483420593368239</v>
      </c>
      <c r="K13">
        <v>0</v>
      </c>
      <c r="L13" s="1">
        <f t="shared" si="0"/>
        <v>100.00000000000001</v>
      </c>
      <c r="M13" t="s">
        <v>15</v>
      </c>
      <c r="N13">
        <v>0.3</v>
      </c>
      <c r="O13">
        <v>0.3</v>
      </c>
      <c r="P13">
        <v>15</v>
      </c>
    </row>
    <row r="14" spans="1:16" x14ac:dyDescent="0.2">
      <c r="A14" t="s">
        <v>27</v>
      </c>
      <c r="B14" t="s">
        <v>24</v>
      </c>
      <c r="C14" t="s">
        <v>2</v>
      </c>
      <c r="D14" t="s">
        <v>25</v>
      </c>
      <c r="E14" t="s">
        <v>14</v>
      </c>
      <c r="F14">
        <v>1</v>
      </c>
      <c r="G14" s="1">
        <f t="shared" si="3"/>
        <v>52.521815008726009</v>
      </c>
      <c r="H14" s="1">
        <v>35</v>
      </c>
      <c r="I14" s="1">
        <f t="shared" si="4"/>
        <v>1.8150087260034904</v>
      </c>
      <c r="J14" s="1">
        <f t="shared" si="4"/>
        <v>10.663176265270506</v>
      </c>
      <c r="K14">
        <v>0</v>
      </c>
      <c r="L14" s="1">
        <f t="shared" si="0"/>
        <v>100</v>
      </c>
      <c r="M14" t="s">
        <v>15</v>
      </c>
      <c r="N14">
        <v>0.3</v>
      </c>
      <c r="O14">
        <v>0.3</v>
      </c>
      <c r="P14">
        <v>15</v>
      </c>
    </row>
    <row r="15" spans="1:16" x14ac:dyDescent="0.2">
      <c r="A15" t="s">
        <v>28</v>
      </c>
      <c r="B15" t="s">
        <v>24</v>
      </c>
      <c r="C15" t="s">
        <v>2</v>
      </c>
      <c r="D15" t="s">
        <v>25</v>
      </c>
      <c r="E15" t="s">
        <v>14</v>
      </c>
      <c r="F15">
        <v>1</v>
      </c>
      <c r="G15" s="1">
        <f t="shared" si="3"/>
        <v>48.481675392670162</v>
      </c>
      <c r="H15" s="1">
        <v>40</v>
      </c>
      <c r="I15" s="1">
        <f t="shared" si="4"/>
        <v>1.6753926701570681</v>
      </c>
      <c r="J15" s="1">
        <f t="shared" si="4"/>
        <v>9.842931937172775</v>
      </c>
      <c r="K15">
        <v>0</v>
      </c>
      <c r="L15" s="1">
        <f t="shared" si="0"/>
        <v>100</v>
      </c>
      <c r="M15" t="s">
        <v>15</v>
      </c>
      <c r="N15">
        <v>0.3</v>
      </c>
      <c r="O15">
        <v>0.3</v>
      </c>
      <c r="P15">
        <v>15</v>
      </c>
    </row>
    <row r="16" spans="1:16" x14ac:dyDescent="0.2">
      <c r="A16" t="s">
        <v>29</v>
      </c>
      <c r="B16" t="s">
        <v>24</v>
      </c>
      <c r="C16" t="s">
        <v>2</v>
      </c>
      <c r="D16" t="s">
        <v>25</v>
      </c>
      <c r="E16" t="s">
        <v>14</v>
      </c>
      <c r="F16">
        <v>1</v>
      </c>
      <c r="G16" s="1">
        <f t="shared" si="3"/>
        <v>40.40139616055847</v>
      </c>
      <c r="H16" s="1">
        <v>50</v>
      </c>
      <c r="I16" s="1">
        <f t="shared" si="4"/>
        <v>1.3961605584642234</v>
      </c>
      <c r="J16" s="1">
        <f t="shared" si="4"/>
        <v>8.2024432809773131</v>
      </c>
      <c r="K16">
        <v>0</v>
      </c>
      <c r="L16" s="1">
        <f t="shared" si="0"/>
        <v>100</v>
      </c>
      <c r="M16" t="s">
        <v>15</v>
      </c>
      <c r="N16">
        <v>0.3</v>
      </c>
      <c r="O16">
        <v>0.3</v>
      </c>
      <c r="P16">
        <v>15</v>
      </c>
    </row>
    <row r="17" spans="1:16" x14ac:dyDescent="0.2">
      <c r="A17" t="s">
        <v>30</v>
      </c>
      <c r="B17" t="s">
        <v>24</v>
      </c>
      <c r="C17" t="s">
        <v>2</v>
      </c>
      <c r="D17" t="s">
        <v>25</v>
      </c>
      <c r="E17" t="s">
        <v>14</v>
      </c>
      <c r="F17">
        <v>1</v>
      </c>
      <c r="G17" s="1">
        <f t="shared" si="3"/>
        <v>36.361256544502616</v>
      </c>
      <c r="H17" s="1">
        <v>55</v>
      </c>
      <c r="I17" s="1">
        <f t="shared" si="4"/>
        <v>1.256544502617801</v>
      </c>
      <c r="J17" s="1">
        <f t="shared" si="4"/>
        <v>7.3821989528795813</v>
      </c>
      <c r="K17">
        <v>0</v>
      </c>
      <c r="L17" s="1">
        <f>SUM(G17:J17)</f>
        <v>100</v>
      </c>
      <c r="M17" t="s">
        <v>15</v>
      </c>
      <c r="N17">
        <v>0.3</v>
      </c>
      <c r="O17">
        <v>0.3</v>
      </c>
      <c r="P17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selection activeCell="J4" sqref="J4"/>
    </sheetView>
  </sheetViews>
  <sheetFormatPr baseColWidth="10" defaultRowHeight="16" x14ac:dyDescent="0.2"/>
  <cols>
    <col min="1" max="1" width="16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2">
      <c r="A2" t="s">
        <v>40</v>
      </c>
      <c r="B2" t="s">
        <v>12</v>
      </c>
      <c r="C2" t="s">
        <v>2</v>
      </c>
      <c r="D2" t="s">
        <v>13</v>
      </c>
      <c r="E2" t="s">
        <v>14</v>
      </c>
      <c r="F2">
        <v>1</v>
      </c>
      <c r="G2" s="1">
        <v>50</v>
      </c>
      <c r="H2" s="1">
        <v>38.5</v>
      </c>
      <c r="I2" s="1">
        <v>1.5</v>
      </c>
      <c r="J2" s="1">
        <v>10</v>
      </c>
      <c r="K2">
        <v>0</v>
      </c>
      <c r="L2" s="1">
        <f>SUM(G2:J2)</f>
        <v>100</v>
      </c>
      <c r="M2" t="s">
        <v>15</v>
      </c>
      <c r="N2">
        <v>0.3</v>
      </c>
      <c r="O2">
        <v>0.3</v>
      </c>
      <c r="P2">
        <v>15</v>
      </c>
    </row>
    <row r="3" spans="1:16" x14ac:dyDescent="0.2">
      <c r="A3" t="s">
        <v>41</v>
      </c>
      <c r="B3" t="s">
        <v>12</v>
      </c>
      <c r="C3" t="s">
        <v>2</v>
      </c>
      <c r="D3" t="s">
        <v>13</v>
      </c>
      <c r="E3" t="s">
        <v>14</v>
      </c>
      <c r="F3">
        <v>1</v>
      </c>
      <c r="G3" s="1">
        <f>(100-$I3)*$G$2/(100-$I$2)</f>
        <v>50.761421319796952</v>
      </c>
      <c r="H3" s="1">
        <f>(100-$I3)*$H$2/(100-$I$2)</f>
        <v>39.086294416243653</v>
      </c>
      <c r="I3" s="1">
        <v>0</v>
      </c>
      <c r="J3" s="1">
        <f>(100-$I3)*J$2/(100-$I$2)</f>
        <v>10.152284263959391</v>
      </c>
      <c r="K3">
        <v>0</v>
      </c>
      <c r="L3" s="1">
        <f t="shared" ref="L3:L16" si="0">SUM(G3:J3)</f>
        <v>100</v>
      </c>
      <c r="M3" t="s">
        <v>15</v>
      </c>
      <c r="N3">
        <v>0.3</v>
      </c>
      <c r="O3">
        <v>0.3</v>
      </c>
      <c r="P3">
        <v>15</v>
      </c>
    </row>
    <row r="4" spans="1:16" x14ac:dyDescent="0.2">
      <c r="A4" t="s">
        <v>42</v>
      </c>
      <c r="B4" t="s">
        <v>12</v>
      </c>
      <c r="C4" t="s">
        <v>2</v>
      </c>
      <c r="D4" t="s">
        <v>13</v>
      </c>
      <c r="E4" t="s">
        <v>14</v>
      </c>
      <c r="F4">
        <v>1</v>
      </c>
      <c r="G4" s="1">
        <f t="shared" ref="G4:H9" si="1">(100-$I4)*$G$2/(100-$I$2)</f>
        <v>50.507614213197968</v>
      </c>
      <c r="H4" s="1">
        <f t="shared" ref="H4:H9" si="2">(100-$I4)*$H$2/(100-$I$2)</f>
        <v>38.890862944162436</v>
      </c>
      <c r="I4" s="1">
        <v>0.5</v>
      </c>
      <c r="J4" s="1">
        <f>(100-$I4)*J$2/(100-$I$2)</f>
        <v>10.101522842639595</v>
      </c>
      <c r="K4">
        <v>0</v>
      </c>
      <c r="L4" s="1">
        <f t="shared" si="0"/>
        <v>100</v>
      </c>
      <c r="M4" t="s">
        <v>15</v>
      </c>
      <c r="N4">
        <v>0.3</v>
      </c>
      <c r="O4">
        <v>0.3</v>
      </c>
      <c r="P4">
        <v>15</v>
      </c>
    </row>
    <row r="5" spans="1:16" x14ac:dyDescent="0.2">
      <c r="A5" t="s">
        <v>43</v>
      </c>
      <c r="B5" t="s">
        <v>12</v>
      </c>
      <c r="C5" t="s">
        <v>2</v>
      </c>
      <c r="D5" t="s">
        <v>13</v>
      </c>
      <c r="E5" t="s">
        <v>14</v>
      </c>
      <c r="F5">
        <v>1</v>
      </c>
      <c r="G5" s="1">
        <f t="shared" si="1"/>
        <v>50.253807106598984</v>
      </c>
      <c r="H5" s="1">
        <f t="shared" si="2"/>
        <v>38.695431472081218</v>
      </c>
      <c r="I5" s="1">
        <v>1</v>
      </c>
      <c r="J5" s="1">
        <f t="shared" ref="J4:J9" si="3">(100-$I5)*J$2/(100-$I$2)</f>
        <v>10.050761421319796</v>
      </c>
      <c r="K5">
        <v>0</v>
      </c>
      <c r="L5" s="1">
        <f t="shared" si="0"/>
        <v>99.999999999999986</v>
      </c>
      <c r="M5" t="s">
        <v>15</v>
      </c>
      <c r="N5">
        <v>0.3</v>
      </c>
      <c r="O5">
        <v>0.3</v>
      </c>
      <c r="P5">
        <v>15</v>
      </c>
    </row>
    <row r="6" spans="1:16" x14ac:dyDescent="0.2">
      <c r="A6" t="s">
        <v>44</v>
      </c>
      <c r="B6" t="s">
        <v>12</v>
      </c>
      <c r="C6" t="s">
        <v>2</v>
      </c>
      <c r="D6" t="s">
        <v>13</v>
      </c>
      <c r="E6" t="s">
        <v>14</v>
      </c>
      <c r="F6">
        <v>1</v>
      </c>
      <c r="G6" s="1">
        <f t="shared" si="1"/>
        <v>49.746192893401016</v>
      </c>
      <c r="H6" s="1">
        <f t="shared" si="2"/>
        <v>38.304568527918782</v>
      </c>
      <c r="I6" s="1">
        <v>2</v>
      </c>
      <c r="J6" s="1">
        <f t="shared" si="3"/>
        <v>9.9492385786802036</v>
      </c>
      <c r="K6">
        <v>0</v>
      </c>
      <c r="L6" s="1">
        <f t="shared" si="0"/>
        <v>100.00000000000001</v>
      </c>
      <c r="M6" t="s">
        <v>15</v>
      </c>
      <c r="N6">
        <v>0.3</v>
      </c>
      <c r="O6">
        <v>0.3</v>
      </c>
      <c r="P6">
        <v>15</v>
      </c>
    </row>
    <row r="7" spans="1:16" x14ac:dyDescent="0.2">
      <c r="A7" t="s">
        <v>45</v>
      </c>
      <c r="B7" t="s">
        <v>12</v>
      </c>
      <c r="C7" t="s">
        <v>2</v>
      </c>
      <c r="D7" t="s">
        <v>13</v>
      </c>
      <c r="E7" t="s">
        <v>14</v>
      </c>
      <c r="F7">
        <v>1</v>
      </c>
      <c r="G7" s="1">
        <f t="shared" si="1"/>
        <v>49.492385786802032</v>
      </c>
      <c r="H7" s="1">
        <f t="shared" si="2"/>
        <v>38.109137055837564</v>
      </c>
      <c r="I7" s="1">
        <v>2.5</v>
      </c>
      <c r="J7" s="1">
        <f t="shared" si="3"/>
        <v>9.8984771573604053</v>
      </c>
      <c r="K7">
        <v>0</v>
      </c>
      <c r="L7" s="1">
        <f t="shared" si="0"/>
        <v>100</v>
      </c>
      <c r="M7" t="s">
        <v>15</v>
      </c>
      <c r="N7">
        <v>0.3</v>
      </c>
      <c r="O7">
        <v>0.3</v>
      </c>
      <c r="P7">
        <v>15</v>
      </c>
    </row>
    <row r="8" spans="1:16" x14ac:dyDescent="0.2">
      <c r="A8" t="s">
        <v>46</v>
      </c>
      <c r="B8" t="s">
        <v>12</v>
      </c>
      <c r="C8" t="s">
        <v>2</v>
      </c>
      <c r="D8" t="s">
        <v>13</v>
      </c>
      <c r="E8" t="s">
        <v>14</v>
      </c>
      <c r="F8">
        <v>1</v>
      </c>
      <c r="G8" s="1">
        <f t="shared" si="1"/>
        <v>49.238578680203048</v>
      </c>
      <c r="H8" s="1">
        <f t="shared" si="2"/>
        <v>37.913705583756347</v>
      </c>
      <c r="I8" s="1">
        <v>3</v>
      </c>
      <c r="J8" s="1">
        <f t="shared" si="3"/>
        <v>9.8477157360406089</v>
      </c>
      <c r="K8">
        <v>0</v>
      </c>
      <c r="L8" s="1">
        <f t="shared" si="0"/>
        <v>100</v>
      </c>
      <c r="M8" t="s">
        <v>15</v>
      </c>
      <c r="N8">
        <v>0.3</v>
      </c>
      <c r="O8">
        <v>0.3</v>
      </c>
      <c r="P8">
        <v>15</v>
      </c>
    </row>
    <row r="9" spans="1:16" x14ac:dyDescent="0.2">
      <c r="A9" t="s">
        <v>47</v>
      </c>
      <c r="B9" t="s">
        <v>12</v>
      </c>
      <c r="C9" t="s">
        <v>2</v>
      </c>
      <c r="D9" t="s">
        <v>13</v>
      </c>
      <c r="E9" t="s">
        <v>14</v>
      </c>
      <c r="F9">
        <v>1</v>
      </c>
      <c r="G9" s="1">
        <f t="shared" si="1"/>
        <v>48.984771573604064</v>
      </c>
      <c r="H9" s="1">
        <f t="shared" si="2"/>
        <v>37.718274111675129</v>
      </c>
      <c r="I9" s="1">
        <v>3.5</v>
      </c>
      <c r="J9" s="1">
        <f t="shared" si="3"/>
        <v>9.7969543147208125</v>
      </c>
      <c r="K9">
        <v>0</v>
      </c>
      <c r="L9" s="1">
        <f t="shared" si="0"/>
        <v>100</v>
      </c>
      <c r="M9" t="s">
        <v>15</v>
      </c>
      <c r="N9">
        <v>0.3</v>
      </c>
      <c r="O9">
        <v>0.3</v>
      </c>
      <c r="P9">
        <v>15</v>
      </c>
    </row>
    <row r="10" spans="1:16" x14ac:dyDescent="0.2">
      <c r="A10" t="s">
        <v>48</v>
      </c>
      <c r="B10" t="s">
        <v>24</v>
      </c>
      <c r="C10" t="s">
        <v>2</v>
      </c>
      <c r="D10" t="s">
        <v>25</v>
      </c>
      <c r="E10" t="s">
        <v>14</v>
      </c>
      <c r="F10">
        <v>1</v>
      </c>
      <c r="G10" s="1">
        <v>46.3</v>
      </c>
      <c r="H10" s="1">
        <v>42.7</v>
      </c>
      <c r="I10" s="1">
        <v>1.6</v>
      </c>
      <c r="J10" s="1">
        <v>9.4</v>
      </c>
      <c r="K10">
        <v>0</v>
      </c>
      <c r="L10" s="1">
        <f t="shared" si="0"/>
        <v>100</v>
      </c>
      <c r="M10" t="s">
        <v>15</v>
      </c>
      <c r="N10">
        <v>0.3</v>
      </c>
      <c r="O10">
        <v>0.3</v>
      </c>
      <c r="P10">
        <v>15</v>
      </c>
    </row>
    <row r="11" spans="1:16" x14ac:dyDescent="0.2">
      <c r="A11" t="s">
        <v>49</v>
      </c>
      <c r="B11" t="s">
        <v>24</v>
      </c>
      <c r="C11" t="s">
        <v>2</v>
      </c>
      <c r="D11" t="s">
        <v>25</v>
      </c>
      <c r="E11" t="s">
        <v>14</v>
      </c>
      <c r="F11">
        <v>1</v>
      </c>
      <c r="G11" s="1">
        <f>(100-$I11)*G$10/(100-$I$10)</f>
        <v>47.052845528455279</v>
      </c>
      <c r="H11" s="1">
        <f>(100-$I11)*H$10/(100-$I$10)</f>
        <v>43.394308943089428</v>
      </c>
      <c r="I11" s="1">
        <v>0</v>
      </c>
      <c r="J11" s="1">
        <f>(100-$I11)*J$10/(100-$I$10)</f>
        <v>9.5528455284552845</v>
      </c>
      <c r="K11">
        <v>0</v>
      </c>
      <c r="L11" s="1">
        <f t="shared" si="0"/>
        <v>99.999999999999986</v>
      </c>
      <c r="M11" t="s">
        <v>15</v>
      </c>
      <c r="N11">
        <v>0.3</v>
      </c>
      <c r="O11">
        <v>0.3</v>
      </c>
      <c r="P11">
        <v>15</v>
      </c>
    </row>
    <row r="12" spans="1:16" x14ac:dyDescent="0.2">
      <c r="A12" t="s">
        <v>50</v>
      </c>
      <c r="B12" t="s">
        <v>24</v>
      </c>
      <c r="C12" t="s">
        <v>2</v>
      </c>
      <c r="D12" t="s">
        <v>25</v>
      </c>
      <c r="E12" t="s">
        <v>14</v>
      </c>
      <c r="F12">
        <v>1</v>
      </c>
      <c r="G12" s="1">
        <f t="shared" ref="G12:H17" si="4">(100-$I12)*G$10/(100-$I$10)</f>
        <v>46.817581300812996</v>
      </c>
      <c r="H12" s="1">
        <f t="shared" si="4"/>
        <v>43.177337398373986</v>
      </c>
      <c r="I12" s="1">
        <v>0.5</v>
      </c>
      <c r="J12" s="1">
        <f t="shared" ref="J12:J17" si="5">(100-$I12)*J$10/(100-$I$10)</f>
        <v>9.5050813008130088</v>
      </c>
      <c r="K12">
        <v>0</v>
      </c>
      <c r="L12" s="1">
        <f t="shared" si="0"/>
        <v>99.999999999999986</v>
      </c>
      <c r="M12" t="s">
        <v>15</v>
      </c>
      <c r="N12">
        <v>0.3</v>
      </c>
      <c r="O12">
        <v>0.3</v>
      </c>
      <c r="P12">
        <v>15</v>
      </c>
    </row>
    <row r="13" spans="1:16" x14ac:dyDescent="0.2">
      <c r="A13" t="s">
        <v>51</v>
      </c>
      <c r="B13" t="s">
        <v>24</v>
      </c>
      <c r="C13" t="s">
        <v>2</v>
      </c>
      <c r="D13" t="s">
        <v>25</v>
      </c>
      <c r="E13" t="s">
        <v>14</v>
      </c>
      <c r="F13">
        <v>1</v>
      </c>
      <c r="G13" s="1">
        <f t="shared" si="4"/>
        <v>46.582317073170728</v>
      </c>
      <c r="H13" s="1">
        <f t="shared" si="4"/>
        <v>42.960365853658537</v>
      </c>
      <c r="I13" s="1">
        <v>1</v>
      </c>
      <c r="J13" s="1">
        <f t="shared" si="5"/>
        <v>9.4573170731707314</v>
      </c>
      <c r="K13">
        <v>0</v>
      </c>
      <c r="L13" s="1">
        <f t="shared" si="0"/>
        <v>99.999999999999986</v>
      </c>
      <c r="M13" t="s">
        <v>15</v>
      </c>
      <c r="N13">
        <v>0.3</v>
      </c>
      <c r="O13">
        <v>0.3</v>
      </c>
      <c r="P13">
        <v>15</v>
      </c>
    </row>
    <row r="14" spans="1:16" x14ac:dyDescent="0.2">
      <c r="A14" t="s">
        <v>52</v>
      </c>
      <c r="B14" t="s">
        <v>24</v>
      </c>
      <c r="C14" t="s">
        <v>2</v>
      </c>
      <c r="D14" t="s">
        <v>25</v>
      </c>
      <c r="E14" t="s">
        <v>14</v>
      </c>
      <c r="F14">
        <v>1</v>
      </c>
      <c r="G14" s="1">
        <f t="shared" si="4"/>
        <v>46.11178861788617</v>
      </c>
      <c r="H14" s="1">
        <f t="shared" si="4"/>
        <v>42.526422764227647</v>
      </c>
      <c r="I14" s="1">
        <v>2</v>
      </c>
      <c r="J14" s="1">
        <f t="shared" si="5"/>
        <v>9.3617886178861784</v>
      </c>
      <c r="K14">
        <v>0</v>
      </c>
      <c r="L14" s="1">
        <f t="shared" si="0"/>
        <v>99.999999999999986</v>
      </c>
      <c r="M14" t="s">
        <v>15</v>
      </c>
      <c r="N14">
        <v>0.3</v>
      </c>
      <c r="O14">
        <v>0.3</v>
      </c>
      <c r="P14">
        <v>15</v>
      </c>
    </row>
    <row r="15" spans="1:16" x14ac:dyDescent="0.2">
      <c r="A15" t="s">
        <v>53</v>
      </c>
      <c r="B15" t="s">
        <v>24</v>
      </c>
      <c r="C15" t="s">
        <v>2</v>
      </c>
      <c r="D15" t="s">
        <v>25</v>
      </c>
      <c r="E15" t="s">
        <v>14</v>
      </c>
      <c r="F15">
        <v>1</v>
      </c>
      <c r="G15" s="1">
        <f t="shared" si="4"/>
        <v>45.876524390243901</v>
      </c>
      <c r="H15" s="1">
        <f t="shared" si="4"/>
        <v>42.309451219512191</v>
      </c>
      <c r="I15" s="1">
        <v>2.5</v>
      </c>
      <c r="J15" s="1">
        <f t="shared" si="5"/>
        <v>9.3140243902439011</v>
      </c>
      <c r="K15">
        <v>0</v>
      </c>
      <c r="L15" s="1">
        <f t="shared" si="0"/>
        <v>100</v>
      </c>
      <c r="M15" t="s">
        <v>15</v>
      </c>
      <c r="N15">
        <v>0.3</v>
      </c>
      <c r="O15">
        <v>0.3</v>
      </c>
      <c r="P15">
        <v>15</v>
      </c>
    </row>
    <row r="16" spans="1:16" x14ac:dyDescent="0.2">
      <c r="A16" t="s">
        <v>54</v>
      </c>
      <c r="B16" t="s">
        <v>24</v>
      </c>
      <c r="C16" t="s">
        <v>2</v>
      </c>
      <c r="D16" t="s">
        <v>25</v>
      </c>
      <c r="E16" t="s">
        <v>14</v>
      </c>
      <c r="F16">
        <v>1</v>
      </c>
      <c r="G16" s="1">
        <f t="shared" si="4"/>
        <v>45.641260162601618</v>
      </c>
      <c r="H16" s="1">
        <f t="shared" si="4"/>
        <v>42.092479674796749</v>
      </c>
      <c r="I16" s="1">
        <v>3</v>
      </c>
      <c r="J16" s="1">
        <f t="shared" si="5"/>
        <v>9.2662601626016254</v>
      </c>
      <c r="K16">
        <v>0</v>
      </c>
      <c r="L16" s="1">
        <f t="shared" si="0"/>
        <v>99.999999999999986</v>
      </c>
      <c r="M16" t="s">
        <v>15</v>
      </c>
      <c r="N16">
        <v>0.3</v>
      </c>
      <c r="O16">
        <v>0.3</v>
      </c>
      <c r="P16">
        <v>15</v>
      </c>
    </row>
    <row r="17" spans="1:16" x14ac:dyDescent="0.2">
      <c r="A17" t="s">
        <v>55</v>
      </c>
      <c r="B17" t="s">
        <v>24</v>
      </c>
      <c r="C17" t="s">
        <v>2</v>
      </c>
      <c r="D17" t="s">
        <v>25</v>
      </c>
      <c r="E17" t="s">
        <v>14</v>
      </c>
      <c r="F17">
        <v>1</v>
      </c>
      <c r="G17" s="1">
        <f t="shared" si="4"/>
        <v>45.405995934959343</v>
      </c>
      <c r="H17" s="1">
        <f t="shared" si="4"/>
        <v>41.8755081300813</v>
      </c>
      <c r="I17" s="1">
        <v>3.5</v>
      </c>
      <c r="J17" s="1">
        <f t="shared" si="5"/>
        <v>9.2184959349593498</v>
      </c>
      <c r="K17">
        <v>0</v>
      </c>
      <c r="L17" s="1">
        <f>SUM(G17:J17)</f>
        <v>100</v>
      </c>
      <c r="M17" t="s">
        <v>15</v>
      </c>
      <c r="N17">
        <v>0.3</v>
      </c>
      <c r="O17">
        <v>0.3</v>
      </c>
      <c r="P17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workbookViewId="0">
      <selection activeCell="J21" sqref="J21"/>
    </sheetView>
  </sheetViews>
  <sheetFormatPr baseColWidth="10" defaultRowHeight="16" x14ac:dyDescent="0.2"/>
  <cols>
    <col min="1" max="1" width="16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2">
      <c r="A2" t="s">
        <v>56</v>
      </c>
      <c r="B2" t="s">
        <v>12</v>
      </c>
      <c r="C2" t="s">
        <v>2</v>
      </c>
      <c r="D2" t="s">
        <v>13</v>
      </c>
      <c r="E2" t="s">
        <v>14</v>
      </c>
      <c r="F2">
        <v>1</v>
      </c>
      <c r="G2" s="1">
        <v>50</v>
      </c>
      <c r="H2" s="1">
        <v>38.5</v>
      </c>
      <c r="I2" s="1">
        <v>1.5</v>
      </c>
      <c r="J2" s="1">
        <v>10</v>
      </c>
      <c r="K2">
        <v>0</v>
      </c>
      <c r="L2" s="1">
        <f>SUM(G2:J2)</f>
        <v>100</v>
      </c>
      <c r="M2" t="s">
        <v>15</v>
      </c>
      <c r="N2">
        <v>0.3</v>
      </c>
      <c r="O2">
        <v>0.3</v>
      </c>
      <c r="P2">
        <v>15</v>
      </c>
    </row>
    <row r="3" spans="1:16" x14ac:dyDescent="0.2">
      <c r="A3" t="s">
        <v>41</v>
      </c>
      <c r="B3" t="s">
        <v>12</v>
      </c>
      <c r="C3" t="s">
        <v>2</v>
      </c>
      <c r="D3" t="s">
        <v>13</v>
      </c>
      <c r="E3" t="s">
        <v>14</v>
      </c>
      <c r="F3">
        <v>1</v>
      </c>
      <c r="G3" s="1">
        <f t="shared" ref="G3:H3" si="0">(100-$J3)*G$2/(100-$J$2)</f>
        <v>55.555555555555557</v>
      </c>
      <c r="H3" s="1">
        <f t="shared" si="0"/>
        <v>42.777777777777779</v>
      </c>
      <c r="I3" s="1">
        <f>(100-$J3)*I$2/(100-$J$2)</f>
        <v>1.6666666666666667</v>
      </c>
      <c r="J3" s="1">
        <v>0</v>
      </c>
      <c r="K3">
        <v>0</v>
      </c>
      <c r="L3" s="1">
        <f t="shared" ref="L3:L16" si="1">SUM(G3:J3)</f>
        <v>100.00000000000001</v>
      </c>
      <c r="M3" t="s">
        <v>15</v>
      </c>
      <c r="N3">
        <v>0.3</v>
      </c>
      <c r="O3">
        <v>0.3</v>
      </c>
      <c r="P3">
        <v>15</v>
      </c>
    </row>
    <row r="4" spans="1:16" x14ac:dyDescent="0.2">
      <c r="A4" t="s">
        <v>45</v>
      </c>
      <c r="B4" t="s">
        <v>12</v>
      </c>
      <c r="C4" t="s">
        <v>2</v>
      </c>
      <c r="D4" t="s">
        <v>13</v>
      </c>
      <c r="E4" t="s">
        <v>14</v>
      </c>
      <c r="F4">
        <v>1</v>
      </c>
      <c r="G4" s="1">
        <f t="shared" ref="G4:I9" si="2">(100-$J4)*G$2/(100-$J$2)</f>
        <v>54.166666666666664</v>
      </c>
      <c r="H4" s="1">
        <f t="shared" si="2"/>
        <v>41.708333333333336</v>
      </c>
      <c r="I4" s="1">
        <f t="shared" si="2"/>
        <v>1.625</v>
      </c>
      <c r="J4" s="1">
        <v>2.5</v>
      </c>
      <c r="K4">
        <v>0</v>
      </c>
      <c r="L4" s="1">
        <f t="shared" si="1"/>
        <v>100</v>
      </c>
      <c r="M4" t="s">
        <v>15</v>
      </c>
      <c r="N4">
        <v>0.3</v>
      </c>
      <c r="O4">
        <v>0.3</v>
      </c>
      <c r="P4">
        <v>15</v>
      </c>
    </row>
    <row r="5" spans="1:16" x14ac:dyDescent="0.2">
      <c r="A5" t="s">
        <v>57</v>
      </c>
      <c r="B5" t="s">
        <v>12</v>
      </c>
      <c r="C5" t="s">
        <v>2</v>
      </c>
      <c r="D5" t="s">
        <v>13</v>
      </c>
      <c r="E5" t="s">
        <v>14</v>
      </c>
      <c r="F5">
        <v>1</v>
      </c>
      <c r="G5" s="1">
        <f t="shared" si="2"/>
        <v>52.777777777777779</v>
      </c>
      <c r="H5" s="1">
        <f t="shared" si="2"/>
        <v>40.638888888888886</v>
      </c>
      <c r="I5" s="1">
        <f t="shared" si="2"/>
        <v>1.5833333333333333</v>
      </c>
      <c r="J5" s="1">
        <v>5</v>
      </c>
      <c r="K5">
        <v>0</v>
      </c>
      <c r="L5" s="1">
        <f t="shared" si="1"/>
        <v>99.999999999999986</v>
      </c>
      <c r="M5" t="s">
        <v>15</v>
      </c>
      <c r="N5">
        <v>0.3</v>
      </c>
      <c r="O5">
        <v>0.3</v>
      </c>
      <c r="P5">
        <v>15</v>
      </c>
    </row>
    <row r="6" spans="1:16" x14ac:dyDescent="0.2">
      <c r="A6" t="s">
        <v>58</v>
      </c>
      <c r="B6" t="s">
        <v>12</v>
      </c>
      <c r="C6" t="s">
        <v>2</v>
      </c>
      <c r="D6" t="s">
        <v>13</v>
      </c>
      <c r="E6" t="s">
        <v>14</v>
      </c>
      <c r="F6">
        <v>1</v>
      </c>
      <c r="G6" s="1">
        <f t="shared" si="2"/>
        <v>51.388888888888886</v>
      </c>
      <c r="H6" s="1">
        <f t="shared" si="2"/>
        <v>39.569444444444443</v>
      </c>
      <c r="I6" s="1">
        <f t="shared" si="2"/>
        <v>1.5416666666666667</v>
      </c>
      <c r="J6" s="1">
        <v>7.5</v>
      </c>
      <c r="K6">
        <v>0</v>
      </c>
      <c r="L6" s="1">
        <f t="shared" si="1"/>
        <v>100</v>
      </c>
      <c r="M6" t="s">
        <v>15</v>
      </c>
      <c r="N6">
        <v>0.3</v>
      </c>
      <c r="O6">
        <v>0.3</v>
      </c>
      <c r="P6">
        <v>15</v>
      </c>
    </row>
    <row r="7" spans="1:16" x14ac:dyDescent="0.2">
      <c r="A7" t="s">
        <v>59</v>
      </c>
      <c r="B7" t="s">
        <v>12</v>
      </c>
      <c r="C7" t="s">
        <v>2</v>
      </c>
      <c r="D7" t="s">
        <v>13</v>
      </c>
      <c r="E7" t="s">
        <v>14</v>
      </c>
      <c r="F7">
        <v>1</v>
      </c>
      <c r="G7" s="1">
        <f t="shared" si="2"/>
        <v>48.611111111111114</v>
      </c>
      <c r="H7" s="1">
        <f t="shared" si="2"/>
        <v>37.430555555555557</v>
      </c>
      <c r="I7" s="1">
        <f t="shared" si="2"/>
        <v>1.4583333333333333</v>
      </c>
      <c r="J7" s="1">
        <v>12.5</v>
      </c>
      <c r="K7">
        <v>0</v>
      </c>
      <c r="L7" s="1">
        <f t="shared" si="1"/>
        <v>100</v>
      </c>
      <c r="M7" t="s">
        <v>15</v>
      </c>
      <c r="N7">
        <v>0.3</v>
      </c>
      <c r="O7">
        <v>0.3</v>
      </c>
      <c r="P7">
        <v>15</v>
      </c>
    </row>
    <row r="8" spans="1:16" x14ac:dyDescent="0.2">
      <c r="A8" t="s">
        <v>60</v>
      </c>
      <c r="B8" t="s">
        <v>12</v>
      </c>
      <c r="C8" t="s">
        <v>2</v>
      </c>
      <c r="D8" t="s">
        <v>13</v>
      </c>
      <c r="E8" t="s">
        <v>14</v>
      </c>
      <c r="F8">
        <v>1</v>
      </c>
      <c r="G8" s="1">
        <f t="shared" si="2"/>
        <v>47.222222222222221</v>
      </c>
      <c r="H8" s="1">
        <f t="shared" si="2"/>
        <v>36.361111111111114</v>
      </c>
      <c r="I8" s="1">
        <f t="shared" si="2"/>
        <v>1.4166666666666667</v>
      </c>
      <c r="J8" s="1">
        <v>15</v>
      </c>
      <c r="K8">
        <v>0</v>
      </c>
      <c r="L8" s="1">
        <f t="shared" si="1"/>
        <v>100.00000000000001</v>
      </c>
      <c r="M8" t="s">
        <v>15</v>
      </c>
      <c r="N8">
        <v>0.3</v>
      </c>
      <c r="O8">
        <v>0.3</v>
      </c>
      <c r="P8">
        <v>15</v>
      </c>
    </row>
    <row r="9" spans="1:16" x14ac:dyDescent="0.2">
      <c r="A9" t="s">
        <v>61</v>
      </c>
      <c r="B9" t="s">
        <v>12</v>
      </c>
      <c r="C9" t="s">
        <v>2</v>
      </c>
      <c r="D9" t="s">
        <v>13</v>
      </c>
      <c r="E9" t="s">
        <v>14</v>
      </c>
      <c r="F9">
        <v>1</v>
      </c>
      <c r="G9" s="1">
        <f t="shared" si="2"/>
        <v>45.833333333333336</v>
      </c>
      <c r="H9" s="1">
        <f t="shared" si="2"/>
        <v>35.291666666666664</v>
      </c>
      <c r="I9" s="1">
        <f t="shared" si="2"/>
        <v>1.375</v>
      </c>
      <c r="J9" s="1">
        <v>17.5</v>
      </c>
      <c r="K9">
        <v>0</v>
      </c>
      <c r="L9" s="1">
        <f t="shared" si="1"/>
        <v>100</v>
      </c>
      <c r="M9" t="s">
        <v>15</v>
      </c>
      <c r="N9">
        <v>0.3</v>
      </c>
      <c r="O9">
        <v>0.3</v>
      </c>
      <c r="P9">
        <v>15</v>
      </c>
    </row>
    <row r="10" spans="1:16" x14ac:dyDescent="0.2">
      <c r="A10" t="s">
        <v>62</v>
      </c>
      <c r="B10" t="s">
        <v>24</v>
      </c>
      <c r="C10" t="s">
        <v>2</v>
      </c>
      <c r="D10" t="s">
        <v>25</v>
      </c>
      <c r="E10" t="s">
        <v>14</v>
      </c>
      <c r="F10">
        <v>1</v>
      </c>
      <c r="G10" s="1">
        <v>46.3</v>
      </c>
      <c r="H10" s="1">
        <v>42.7</v>
      </c>
      <c r="I10" s="1">
        <v>1.6</v>
      </c>
      <c r="J10" s="1">
        <v>9.4</v>
      </c>
      <c r="K10">
        <v>0</v>
      </c>
      <c r="L10" s="1">
        <f t="shared" si="1"/>
        <v>100</v>
      </c>
      <c r="M10" t="s">
        <v>15</v>
      </c>
      <c r="N10">
        <v>0.3</v>
      </c>
      <c r="O10">
        <v>0.3</v>
      </c>
      <c r="P10">
        <v>15</v>
      </c>
    </row>
    <row r="11" spans="1:16" x14ac:dyDescent="0.2">
      <c r="A11" t="s">
        <v>49</v>
      </c>
      <c r="B11" t="s">
        <v>24</v>
      </c>
      <c r="C11" t="s">
        <v>2</v>
      </c>
      <c r="D11" t="s">
        <v>25</v>
      </c>
      <c r="E11" t="s">
        <v>14</v>
      </c>
      <c r="F11">
        <v>1</v>
      </c>
      <c r="G11" s="1">
        <f t="shared" ref="G11:I17" si="3">(100-$J11)*G$10/(100-$J$10)</f>
        <v>51.103752759381905</v>
      </c>
      <c r="H11" s="1">
        <f t="shared" si="3"/>
        <v>47.13024282560707</v>
      </c>
      <c r="I11" s="1">
        <f>(100-$J11)*I$10/(100-$J$10)</f>
        <v>1.7660044150110377</v>
      </c>
      <c r="J11" s="1">
        <v>0</v>
      </c>
      <c r="K11">
        <v>0</v>
      </c>
      <c r="L11" s="1">
        <f t="shared" si="1"/>
        <v>100.00000000000001</v>
      </c>
      <c r="M11" t="s">
        <v>15</v>
      </c>
      <c r="N11">
        <v>0.3</v>
      </c>
      <c r="O11">
        <v>0.3</v>
      </c>
      <c r="P11">
        <v>15</v>
      </c>
    </row>
    <row r="12" spans="1:16" x14ac:dyDescent="0.2">
      <c r="A12" t="s">
        <v>53</v>
      </c>
      <c r="B12" t="s">
        <v>24</v>
      </c>
      <c r="C12" t="s">
        <v>2</v>
      </c>
      <c r="D12" t="s">
        <v>25</v>
      </c>
      <c r="E12" t="s">
        <v>14</v>
      </c>
      <c r="F12">
        <v>1</v>
      </c>
      <c r="G12" s="1">
        <f t="shared" si="3"/>
        <v>49.826158940397356</v>
      </c>
      <c r="H12" s="1">
        <f t="shared" si="3"/>
        <v>45.951986754966889</v>
      </c>
      <c r="I12" s="1">
        <f t="shared" si="3"/>
        <v>1.7218543046357617</v>
      </c>
      <c r="J12" s="1">
        <v>2.5</v>
      </c>
      <c r="K12">
        <v>0</v>
      </c>
      <c r="L12" s="1">
        <f t="shared" si="1"/>
        <v>100</v>
      </c>
      <c r="M12" t="s">
        <v>15</v>
      </c>
      <c r="N12">
        <v>0.3</v>
      </c>
      <c r="O12">
        <v>0.3</v>
      </c>
      <c r="P12">
        <v>15</v>
      </c>
    </row>
    <row r="13" spans="1:16" x14ac:dyDescent="0.2">
      <c r="A13" t="s">
        <v>63</v>
      </c>
      <c r="B13" t="s">
        <v>24</v>
      </c>
      <c r="C13" t="s">
        <v>2</v>
      </c>
      <c r="D13" t="s">
        <v>25</v>
      </c>
      <c r="E13" t="s">
        <v>14</v>
      </c>
      <c r="F13">
        <v>1</v>
      </c>
      <c r="G13" s="1">
        <f t="shared" si="3"/>
        <v>48.548565121412807</v>
      </c>
      <c r="H13" s="1">
        <f t="shared" si="3"/>
        <v>44.773730684326722</v>
      </c>
      <c r="I13" s="1">
        <f t="shared" si="3"/>
        <v>1.6777041942604858</v>
      </c>
      <c r="J13" s="1">
        <v>5</v>
      </c>
      <c r="K13">
        <v>0</v>
      </c>
      <c r="L13" s="1">
        <f t="shared" si="1"/>
        <v>100.00000000000001</v>
      </c>
      <c r="M13" t="s">
        <v>15</v>
      </c>
      <c r="N13">
        <v>0.3</v>
      </c>
      <c r="O13">
        <v>0.3</v>
      </c>
      <c r="P13">
        <v>15</v>
      </c>
    </row>
    <row r="14" spans="1:16" x14ac:dyDescent="0.2">
      <c r="A14" t="s">
        <v>64</v>
      </c>
      <c r="B14" t="s">
        <v>24</v>
      </c>
      <c r="C14" t="s">
        <v>2</v>
      </c>
      <c r="D14" t="s">
        <v>25</v>
      </c>
      <c r="E14" t="s">
        <v>14</v>
      </c>
      <c r="F14">
        <v>1</v>
      </c>
      <c r="G14" s="1">
        <f t="shared" si="3"/>
        <v>47.270971302428258</v>
      </c>
      <c r="H14" s="1">
        <f t="shared" si="3"/>
        <v>43.595474613686541</v>
      </c>
      <c r="I14" s="1">
        <f t="shared" si="3"/>
        <v>1.6335540838852098</v>
      </c>
      <c r="J14" s="1">
        <v>7.5</v>
      </c>
      <c r="K14">
        <v>0</v>
      </c>
      <c r="L14" s="1">
        <f t="shared" si="1"/>
        <v>100.00000000000001</v>
      </c>
      <c r="M14" t="s">
        <v>15</v>
      </c>
      <c r="N14">
        <v>0.3</v>
      </c>
      <c r="O14">
        <v>0.3</v>
      </c>
      <c r="P14">
        <v>15</v>
      </c>
    </row>
    <row r="15" spans="1:16" x14ac:dyDescent="0.2">
      <c r="A15" t="s">
        <v>65</v>
      </c>
      <c r="B15" t="s">
        <v>24</v>
      </c>
      <c r="C15" t="s">
        <v>2</v>
      </c>
      <c r="D15" t="s">
        <v>25</v>
      </c>
      <c r="E15" t="s">
        <v>14</v>
      </c>
      <c r="F15">
        <v>1</v>
      </c>
      <c r="G15" s="1">
        <f t="shared" si="3"/>
        <v>44.71578366445916</v>
      </c>
      <c r="H15" s="1">
        <f t="shared" si="3"/>
        <v>41.238962472406186</v>
      </c>
      <c r="I15" s="1">
        <f t="shared" si="3"/>
        <v>1.545253863134658</v>
      </c>
      <c r="J15" s="1">
        <v>12.5</v>
      </c>
      <c r="K15">
        <v>0</v>
      </c>
      <c r="L15" s="1">
        <f t="shared" si="1"/>
        <v>100</v>
      </c>
      <c r="M15" t="s">
        <v>15</v>
      </c>
      <c r="N15">
        <v>0.3</v>
      </c>
      <c r="O15">
        <v>0.3</v>
      </c>
      <c r="P15">
        <v>15</v>
      </c>
    </row>
    <row r="16" spans="1:16" x14ac:dyDescent="0.2">
      <c r="A16" t="s">
        <v>66</v>
      </c>
      <c r="B16" t="s">
        <v>24</v>
      </c>
      <c r="C16" t="s">
        <v>2</v>
      </c>
      <c r="D16" t="s">
        <v>25</v>
      </c>
      <c r="E16" t="s">
        <v>14</v>
      </c>
      <c r="F16">
        <v>1</v>
      </c>
      <c r="G16" s="1">
        <f t="shared" si="3"/>
        <v>43.438189845474611</v>
      </c>
      <c r="H16" s="1">
        <f t="shared" si="3"/>
        <v>40.060706401766012</v>
      </c>
      <c r="I16" s="1">
        <f t="shared" si="3"/>
        <v>1.501103752759382</v>
      </c>
      <c r="J16" s="1">
        <v>15</v>
      </c>
      <c r="K16">
        <v>0</v>
      </c>
      <c r="L16" s="1">
        <f t="shared" si="1"/>
        <v>100</v>
      </c>
      <c r="M16" t="s">
        <v>15</v>
      </c>
      <c r="N16">
        <v>0.3</v>
      </c>
      <c r="O16">
        <v>0.3</v>
      </c>
      <c r="P16">
        <v>15</v>
      </c>
    </row>
    <row r="17" spans="1:16" x14ac:dyDescent="0.2">
      <c r="A17" t="s">
        <v>67</v>
      </c>
      <c r="B17" t="s">
        <v>24</v>
      </c>
      <c r="C17" t="s">
        <v>2</v>
      </c>
      <c r="D17" t="s">
        <v>25</v>
      </c>
      <c r="E17" t="s">
        <v>14</v>
      </c>
      <c r="F17">
        <v>1</v>
      </c>
      <c r="G17" s="1">
        <f t="shared" si="3"/>
        <v>42.160596026490062</v>
      </c>
      <c r="H17" s="1">
        <f t="shared" si="3"/>
        <v>38.882450331125838</v>
      </c>
      <c r="I17" s="1">
        <f t="shared" si="3"/>
        <v>1.4569536423841061</v>
      </c>
      <c r="J17" s="1">
        <v>17.5</v>
      </c>
      <c r="K17">
        <v>0</v>
      </c>
      <c r="L17" s="1">
        <f>SUM(G17:J17)</f>
        <v>100.00000000000001</v>
      </c>
      <c r="M17" t="s">
        <v>15</v>
      </c>
      <c r="N17">
        <v>0.3</v>
      </c>
      <c r="O17">
        <v>0.3</v>
      </c>
      <c r="P17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Lipomer Ratios</vt:lpstr>
      <vt:lpstr>Cholesterol Ratios</vt:lpstr>
      <vt:lpstr>PEG Ratios</vt:lpstr>
      <vt:lpstr>Helper Lipid 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2022-06-02T03:49:47Z</dcterms:created>
  <dcterms:modified xsi:type="dcterms:W3CDTF">2022-06-02T04:15:33Z</dcterms:modified>
</cp:coreProperties>
</file>